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віт Логістики Bellon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6">
    <font>
      <name val="Calibri"/>
      <family val="2"/>
      <color theme="1"/>
      <sz val="11"/>
      <scheme val="minor"/>
    </font>
    <font>
      <name val="Arial"/>
      <b val="1"/>
      <color rgb="000D3B66"/>
      <sz val="16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0D3B66"/>
        <bgColor rgb="000D3B66"/>
      </patternFill>
    </fill>
    <fill>
      <patternFill patternType="solid">
        <fgColor rgb="00F9FAFC"/>
        <bgColor rgb="00F9FAFC"/>
      </patternFill>
    </fill>
    <fill>
      <patternFill patternType="solid">
        <fgColor rgb="00F4F6F9"/>
        <bgColor rgb="00F4F6F9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top style="thin">
        <color rgb="00D3D3D3"/>
      </top>
      <bottom style="double">
        <color rgb="000D3B66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/>
    </xf>
    <xf numFmtId="3" fontId="4" fillId="3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  <xf numFmtId="4" fontId="4" fillId="3" borderId="1" applyAlignment="1" pivotButton="0" quotePrefix="0" xfId="0">
      <alignment horizontal="right" vertical="center"/>
    </xf>
    <xf numFmtId="0" fontId="5" fillId="4" borderId="2" applyAlignment="1" pivotButton="0" quotePrefix="0" xfId="0">
      <alignment horizontal="left" vertical="center"/>
    </xf>
    <xf numFmtId="0" fontId="0" fillId="4" borderId="2" pivotButton="0" quotePrefix="0" xfId="0"/>
    <xf numFmtId="3" fontId="5" fillId="4" borderId="2" applyAlignment="1" pivotButton="0" quotePrefix="0" xfId="0">
      <alignment horizontal="right" vertical="center"/>
    </xf>
    <xf numFmtId="164" fontId="5" fillId="4" borderId="2" applyAlignment="1" pivotButton="0" quotePrefix="0" xfId="0">
      <alignment horizontal="right" vertical="center"/>
    </xf>
    <xf numFmtId="4" fontId="5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1" workbookViewId="0">
      <selection activeCell="A1" sqref="A1"/>
    </sheetView>
  </sheetViews>
  <sheetFormatPr baseColWidth="8" defaultRowHeight="15"/>
  <cols>
    <col width="41" customWidth="1" min="1" max="1"/>
    <col width="33" customWidth="1" min="2" max="2"/>
    <col width="18" customWidth="1" min="3" max="3"/>
    <col width="17" customWidth="1" min="4" max="4"/>
    <col width="21" customWidth="1" min="5" max="5"/>
    <col width="24" customWidth="1" min="6" max="6"/>
    <col width="20" customWidth="1" min="7" max="7"/>
    <col width="25" customWidth="1" min="8" max="8"/>
  </cols>
  <sheetData>
    <row r="1" ht="30" customHeight="1">
      <c r="A1" s="1" t="inlineStr">
        <is>
          <t>Bellonix ALM — Звіт логістики та витрат автопарку</t>
        </is>
      </c>
    </row>
    <row r="2">
      <c r="A2" s="2" t="inlineStr">
        <is>
          <t>Згенеровано автоматично ботом Bellonix</t>
        </is>
      </c>
    </row>
    <row r="3"/>
    <row r="4" ht="25" customHeight="1">
      <c r="A4" s="3" t="inlineStr">
        <is>
          <t>ID Поїздки</t>
        </is>
      </c>
      <c r="B4" s="3" t="inlineStr">
        <is>
          <t>Автомобіль</t>
        </is>
      </c>
      <c r="C4" s="3" t="inlineStr">
        <is>
          <t>Водій</t>
        </is>
      </c>
      <c r="D4" s="3" t="inlineStr">
        <is>
          <t>Дистанція (км)</t>
        </is>
      </c>
      <c r="E4" s="3" t="inlineStr">
        <is>
          <t>Витрати палива (л)</t>
        </is>
      </c>
      <c r="F4" s="3" t="inlineStr">
        <is>
          <t>Вартість палива (грн)</t>
        </is>
      </c>
      <c r="G4" s="3" t="inlineStr">
        <is>
          <t>Амортизація (грн)</t>
        </is>
      </c>
      <c r="H4" s="3" t="inlineStr">
        <is>
          <t>Загальні витрати (грн)</t>
        </is>
      </c>
    </row>
    <row r="5" ht="20" customHeight="1">
      <c r="A5" s="4" t="inlineStr">
        <is>
          <t>TRIP-101</t>
        </is>
      </c>
      <c r="B5" s="4" t="inlineStr">
        <is>
          <t>Renault Master (KA 1234 OB)</t>
        </is>
      </c>
      <c r="C5" s="4" t="inlineStr">
        <is>
          <t>Коваленко О. М.</t>
        </is>
      </c>
      <c r="D5" s="5" t="n">
        <v>320</v>
      </c>
      <c r="E5" s="6" t="n">
        <v>28.8</v>
      </c>
      <c r="F5" s="7" t="n">
        <v>1584</v>
      </c>
      <c r="G5" s="7" t="n">
        <v>320</v>
      </c>
      <c r="H5" s="7">
        <f>F5+G5</f>
        <v/>
      </c>
    </row>
    <row r="6" ht="20" customHeight="1">
      <c r="A6" s="8" t="inlineStr">
        <is>
          <t>TRIP-102</t>
        </is>
      </c>
      <c r="B6" s="8" t="inlineStr">
        <is>
          <t>Mercedes Sprinter (AA 5678 CP)</t>
        </is>
      </c>
      <c r="C6" s="8" t="inlineStr">
        <is>
          <t>Петренко В. І.</t>
        </is>
      </c>
      <c r="D6" s="9" t="n">
        <v>450</v>
      </c>
      <c r="E6" s="10" t="n">
        <v>45</v>
      </c>
      <c r="F6" s="11" t="n">
        <v>2475</v>
      </c>
      <c r="G6" s="11" t="n">
        <v>450</v>
      </c>
      <c r="H6" s="11">
        <f>F6+G6</f>
        <v/>
      </c>
    </row>
    <row r="7" ht="20" customHeight="1">
      <c r="A7" s="4" t="inlineStr">
        <is>
          <t>TRIP-103</t>
        </is>
      </c>
      <c r="B7" s="4" t="inlineStr">
        <is>
          <t>Ford Transit (AM 9012 BC)</t>
        </is>
      </c>
      <c r="C7" s="4" t="inlineStr">
        <is>
          <t>Сидоренко Д. С.</t>
        </is>
      </c>
      <c r="D7" s="5" t="n">
        <v>180</v>
      </c>
      <c r="E7" s="6" t="n">
        <v>16.2</v>
      </c>
      <c r="F7" s="7" t="n">
        <v>891</v>
      </c>
      <c r="G7" s="7" t="n">
        <v>180</v>
      </c>
      <c r="H7" s="7">
        <f>F7+G7</f>
        <v/>
      </c>
    </row>
    <row r="8" ht="20" customHeight="1">
      <c r="A8" s="8" t="inlineStr">
        <is>
          <t>TRIP-104</t>
        </is>
      </c>
      <c r="B8" s="8" t="inlineStr">
        <is>
          <t>Renault Master (KA 1234 OB)</t>
        </is>
      </c>
      <c r="C8" s="8" t="inlineStr">
        <is>
          <t>Коваленко О. М.</t>
        </is>
      </c>
      <c r="D8" s="9" t="n">
        <v>290</v>
      </c>
      <c r="E8" s="10" t="n">
        <v>26.1</v>
      </c>
      <c r="F8" s="11" t="n">
        <v>1435.5</v>
      </c>
      <c r="G8" s="11" t="n">
        <v>290</v>
      </c>
      <c r="H8" s="11">
        <f>F8+G8</f>
        <v/>
      </c>
    </row>
    <row r="9" ht="20" customHeight="1">
      <c r="A9" s="4" t="inlineStr">
        <is>
          <t>TRIP-105</t>
        </is>
      </c>
      <c r="B9" s="4" t="inlineStr">
        <is>
          <t>Mercedes Sprinter (AA 5678 CP)</t>
        </is>
      </c>
      <c r="C9" s="4" t="inlineStr">
        <is>
          <t>Петренко В. І.</t>
        </is>
      </c>
      <c r="D9" s="5" t="n">
        <v>510</v>
      </c>
      <c r="E9" s="6" t="n">
        <v>51</v>
      </c>
      <c r="F9" s="7" t="n">
        <v>2805</v>
      </c>
      <c r="G9" s="7" t="n">
        <v>510</v>
      </c>
      <c r="H9" s="7">
        <f>F9+G9</f>
        <v/>
      </c>
    </row>
    <row r="10" ht="22" customHeight="1">
      <c r="A10" s="12" t="inlineStr">
        <is>
          <t>Разом:</t>
        </is>
      </c>
      <c r="B10" s="13" t="n"/>
      <c r="C10" s="13" t="n"/>
      <c r="D10" s="14">
        <f>SUM(D5:D9)</f>
        <v/>
      </c>
      <c r="E10" s="15">
        <f>SUM(E5:E9)</f>
        <v/>
      </c>
      <c r="F10" s="16">
        <f>SUM(F5:F9)</f>
        <v/>
      </c>
      <c r="G10" s="16">
        <f>SUM(G5:G9)</f>
        <v/>
      </c>
      <c r="H10" s="16">
        <f>SUM(H5:H9)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2026-07-05T10:43:20Z</dcterms:created>
  <dcterms:modified xsi:type="dcterms:W3CDTF">2026-07-05T10:43:20Z</dcterms:modified>
</cp:coreProperties>
</file>